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122" documentId="8_{2B3BBEC8-DB08-4DBD-96AA-E1C3ED768DBC}" xr6:coauthVersionLast="47" xr6:coauthVersionMax="47" xr10:uidLastSave="{9C2E0042-690A-4DDC-B15C-8F85668E597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C29" i="1"/>
  <c r="E34" i="1"/>
  <c r="E33" i="1"/>
  <c r="E32" i="1"/>
  <c r="E31" i="1"/>
  <c r="E30" i="1"/>
  <c r="G29" i="1"/>
  <c r="E29" i="1"/>
  <c r="G20" i="1"/>
  <c r="K24" i="1"/>
  <c r="K23" i="1"/>
  <c r="K22" i="1"/>
  <c r="K21" i="1"/>
  <c r="K20" i="1"/>
  <c r="I24" i="1"/>
  <c r="I23" i="1"/>
  <c r="I22" i="1"/>
  <c r="I21" i="1"/>
  <c r="I20" i="1"/>
  <c r="G24" i="1"/>
  <c r="G23" i="1"/>
  <c r="G22" i="1"/>
  <c r="G21" i="1"/>
</calcChain>
</file>

<file path=xl/sharedStrings.xml><?xml version="1.0" encoding="utf-8"?>
<sst xmlns="http://schemas.openxmlformats.org/spreadsheetml/2006/main" count="133" uniqueCount="88">
  <si>
    <t>Gap Analysis</t>
  </si>
  <si>
    <t>Fields</t>
  </si>
  <si>
    <t>Medicine (Chinese taught)</t>
  </si>
  <si>
    <t>Engineering (Chinese taught)</t>
  </si>
  <si>
    <t>Computer Sci/IT  (Chinese taught)</t>
  </si>
  <si>
    <t>Business &amp; Econ (Chinese taught)</t>
  </si>
  <si>
    <t>Language &amp; Culture (Chinese taught)</t>
  </si>
  <si>
    <t>University</t>
  </si>
  <si>
    <t>Peking</t>
  </si>
  <si>
    <t>Tsinghua</t>
  </si>
  <si>
    <t>BNU</t>
  </si>
  <si>
    <t>GPA</t>
  </si>
  <si>
    <t>≥3.8</t>
  </si>
  <si>
    <t>3.5/4.0</t>
  </si>
  <si>
    <t>HSK</t>
  </si>
  <si>
    <t>6 (≥210)</t>
  </si>
  <si>
    <t>4 (≥195)</t>
  </si>
  <si>
    <t>4 (≥180); 5 (≥180) for most majors</t>
  </si>
  <si>
    <t>IELTS</t>
  </si>
  <si>
    <t>Overall min 7.0(no section lower than 6.0)</t>
  </si>
  <si>
    <t>Not required</t>
  </si>
  <si>
    <t>TOEFL</t>
  </si>
  <si>
    <t>Overall min 100</t>
  </si>
  <si>
    <t>Competition Matching</t>
  </si>
  <si>
    <t>Medicine</t>
  </si>
  <si>
    <t>Engineering</t>
  </si>
  <si>
    <t>Computer Sci/IT</t>
  </si>
  <si>
    <t>Business &amp; Econ</t>
  </si>
  <si>
    <t xml:space="preserve">Language &amp; Culture </t>
  </si>
  <si>
    <t>Competition 1</t>
  </si>
  <si>
    <t>Indonesian Medical Physiology Olympiad (IMPhO)</t>
  </si>
  <si>
    <t>FIRST Robotics Competition</t>
  </si>
  <si>
    <t>Google Summer of Code</t>
  </si>
  <si>
    <t>Wharton Global High School Investment Competition</t>
  </si>
  <si>
    <t>International Linguistics Olympiad (IOL)</t>
  </si>
  <si>
    <t>Competition 2</t>
  </si>
  <si>
    <t>National Medical &amp;amp; General Biology Competition (NMGBC)</t>
  </si>
  <si>
    <t>International Young Inventors Award (IYIA)</t>
  </si>
  <si>
    <t>USACO (USA Computing Olympiad)</t>
  </si>
  <si>
    <t>ndonesia National Science Enterprise Challenge (INASEC)</t>
  </si>
  <si>
    <t>HSK Short Video Competition</t>
  </si>
  <si>
    <t>Competition 3</t>
  </si>
  <si>
    <t>UK Medicine and Dentistry Olympiad (UKMDO)</t>
  </si>
  <si>
    <t>The Indonesian Student Research Olympiad (OPSI)</t>
  </si>
  <si>
    <t>Gemastik</t>
  </si>
  <si>
    <t>Diamond Challenge</t>
  </si>
  <si>
    <t>International Model United Nations</t>
  </si>
  <si>
    <t>Competition 4</t>
  </si>
  <si>
    <t>MEDSPIN is an international Medical Science and Application Competition</t>
  </si>
  <si>
    <t>James Dyson Award</t>
  </si>
  <si>
    <t>Imagine Cup (Microsoft)</t>
  </si>
  <si>
    <t>HSBC Business Case Competition</t>
  </si>
  <si>
    <t>John Locke Institute Essay Competition</t>
  </si>
  <si>
    <t>Competition 5</t>
  </si>
  <si>
    <t>Science in Medicine School Teams Prize 2025</t>
  </si>
  <si>
    <t>Shell Eco-marathon</t>
  </si>
  <si>
    <t>Capture The Flag (CTF) Global Competitions</t>
  </si>
  <si>
    <t>Blue Ocean Competition</t>
  </si>
  <si>
    <t>Fourth Global Youth Bilingual Broadcast Contest</t>
  </si>
  <si>
    <t xml:space="preserve"> Internships/programmes</t>
  </si>
  <si>
    <t>Intern/prog 1</t>
  </si>
  <si>
    <t>AIMI Summer Research Internship</t>
  </si>
  <si>
    <t>Smith College – Summer Science &amp; Engineering Program (SSEP)</t>
  </si>
  <si>
    <t>Intern/prog 2</t>
  </si>
  <si>
    <t>Volunteering as a "Palang Merah Remaja (PMR)"</t>
  </si>
  <si>
    <t>Rolls-Royce Engineering Virtual Experience: "Discover"</t>
  </si>
  <si>
    <t>Intern/prog 3</t>
  </si>
  <si>
    <t>United Planet Global Health Internships</t>
  </si>
  <si>
    <t>Imperial Global Summer School</t>
  </si>
  <si>
    <t>Intern/prog 4</t>
  </si>
  <si>
    <t>Pre-Med Project (Virtual)</t>
  </si>
  <si>
    <t xml:space="preserve">NTU Singapore Summer Immersion Programme </t>
  </si>
  <si>
    <t>Intern/prog 5</t>
  </si>
  <si>
    <t>Stanford University’s SHTEM Summer Internships</t>
  </si>
  <si>
    <t>Explore Engineering Innovation (EEI) (Online/In-Person)</t>
  </si>
  <si>
    <t>University Environment</t>
  </si>
  <si>
    <t xml:space="preserve">University </t>
  </si>
  <si>
    <t>Beijing Normal</t>
  </si>
  <si>
    <t>City name</t>
  </si>
  <si>
    <t>Beijing</t>
  </si>
  <si>
    <t>Int Student Policy</t>
  </si>
  <si>
    <t>the Major Catalog for Undergraduate International Students.docx</t>
  </si>
  <si>
    <t>List-of-Uploading-Documents-in-the-Online-Application-System.pdf</t>
  </si>
  <si>
    <t>Characteristic Expectations</t>
  </si>
  <si>
    <t>Characteristic 1</t>
  </si>
  <si>
    <t>Characteristic 2</t>
  </si>
  <si>
    <t>Characteristic 3</t>
  </si>
  <si>
    <t>Characteristic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</si>
</sst>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rgb="FF0F1115"/>
      <name val="Quote-Cjk-Patch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0" fillId="0" borderId="1" xfId="0" applyBorder="1"/>
    <xf numFmtId="0" fontId="1" fillId="3" borderId="1" xfId="0" applyFont="1" applyFill="1" applyBorder="1"/>
    <xf numFmtId="0" fontId="1" fillId="0" borderId="1" xfId="0" applyFont="1" applyBorder="1"/>
    <xf numFmtId="0" fontId="1" fillId="3" borderId="3" xfId="0" applyFont="1" applyFill="1" applyBorder="1"/>
    <xf numFmtId="0" fontId="0" fillId="0" borderId="4" xfId="0" applyBorder="1"/>
    <xf numFmtId="0" fontId="0" fillId="0" borderId="2" xfId="0" applyBorder="1"/>
    <xf numFmtId="0" fontId="0" fillId="0" borderId="6" xfId="0" applyBorder="1"/>
    <xf numFmtId="0" fontId="0" fillId="0" borderId="5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1" applyBorder="1" applyAlignment="1">
      <alignment horizontal="center"/>
    </xf>
    <xf numFmtId="0" fontId="2" fillId="0" borderId="3" xfId="1" applyBorder="1" applyAlignment="1">
      <alignment horizontal="center"/>
    </xf>
    <xf numFmtId="0" fontId="2" fillId="0" borderId="4" xfId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1" applyBorder="1" applyAlignment="1"/>
    <xf numFmtId="0" fontId="0" fillId="0" borderId="1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emastik18.telkomuniversity.ac.id/" TargetMode="External"/><Relationship Id="rId18" Type="http://schemas.openxmlformats.org/officeDocument/2006/relationships/hyperlink" Target="https://diamondchallenge.org/" TargetMode="External"/><Relationship Id="rId26" Type="http://schemas.openxmlformats.org/officeDocument/2006/relationships/hyperlink" Target="https://aimi.stanford.edu/education/summer-research-internship" TargetMode="External"/><Relationship Id="rId3" Type="http://schemas.openxmlformats.org/officeDocument/2006/relationships/hyperlink" Target="https://ukmdo.co.uk/" TargetMode="External"/><Relationship Id="rId21" Type="http://schemas.openxmlformats.org/officeDocument/2006/relationships/hyperlink" Target="https://ioling.org/index.html" TargetMode="External"/><Relationship Id="rId34" Type="http://schemas.openxmlformats.org/officeDocument/2006/relationships/hyperlink" Target="https://www.ntu.edu.sg/pace/for-individuals/student-immersion-programmes/inspiring-ntu--future-exploration-programme" TargetMode="External"/><Relationship Id="rId7" Type="http://schemas.openxmlformats.org/officeDocument/2006/relationships/hyperlink" Target="https://iid-official.com/iyia/" TargetMode="External"/><Relationship Id="rId12" Type="http://schemas.openxmlformats.org/officeDocument/2006/relationships/hyperlink" Target="https://usaco.org/" TargetMode="External"/><Relationship Id="rId17" Type="http://schemas.openxmlformats.org/officeDocument/2006/relationships/hyperlink" Target="https://inasec.1928.id/about-inasec/" TargetMode="External"/><Relationship Id="rId25" Type="http://schemas.openxmlformats.org/officeDocument/2006/relationships/hyperlink" Target="https://en.cuc.edu.cn/EnglishNews/2026/0215/c10201a267013/page.htm" TargetMode="External"/><Relationship Id="rId33" Type="http://schemas.openxmlformats.org/officeDocument/2006/relationships/hyperlink" Target="https://www.imperial.ac.uk/be-inspired/global-summer-school/" TargetMode="External"/><Relationship Id="rId2" Type="http://schemas.openxmlformats.org/officeDocument/2006/relationships/hyperlink" Target="https://event.ruangmahasiswa.com/detail/fkui-national-medical-and-general-biology" TargetMode="External"/><Relationship Id="rId16" Type="http://schemas.openxmlformats.org/officeDocument/2006/relationships/hyperlink" Target="https://globalyouth.wharton.upenn.edu/competitions/investment-competition/" TargetMode="External"/><Relationship Id="rId20" Type="http://schemas.openxmlformats.org/officeDocument/2006/relationships/hyperlink" Target="https://blueoceancompetition.org/" TargetMode="External"/><Relationship Id="rId29" Type="http://schemas.openxmlformats.org/officeDocument/2006/relationships/hyperlink" Target="https://www.premedprojects.co.uk/online-courses" TargetMode="External"/><Relationship Id="rId1" Type="http://schemas.openxmlformats.org/officeDocument/2006/relationships/hyperlink" Target="https://bemfkuntad.or.id/event-publication-indonesian-medical-physiology-olympiad-impho-unair-2024/" TargetMode="External"/><Relationship Id="rId6" Type="http://schemas.openxmlformats.org/officeDocument/2006/relationships/hyperlink" Target="https://www.firstinspires.org/programs/frc/" TargetMode="External"/><Relationship Id="rId11" Type="http://schemas.openxmlformats.org/officeDocument/2006/relationships/hyperlink" Target="https://summerofcode.withgoogle.com/" TargetMode="External"/><Relationship Id="rId24" Type="http://schemas.openxmlformats.org/officeDocument/2006/relationships/hyperlink" Target="https://www.johnlockeinstitute.com/essay-competition" TargetMode="External"/><Relationship Id="rId32" Type="http://schemas.openxmlformats.org/officeDocument/2006/relationships/hyperlink" Target="https://www.rolls-royce.springpod.com/" TargetMode="External"/><Relationship Id="rId5" Type="http://schemas.openxmlformats.org/officeDocument/2006/relationships/hyperlink" Target="https://www.imperial.ac.uk/bhf-research-excellence/community/" TargetMode="External"/><Relationship Id="rId15" Type="http://schemas.openxmlformats.org/officeDocument/2006/relationships/hyperlink" Target="https://ctf.hkcert.org/" TargetMode="External"/><Relationship Id="rId23" Type="http://schemas.openxmlformats.org/officeDocument/2006/relationships/hyperlink" Target="https://www.internationalmun.org/imun_indonesia_2026_2.html" TargetMode="External"/><Relationship Id="rId28" Type="http://schemas.openxmlformats.org/officeDocument/2006/relationships/hyperlink" Target="https://unitedplanet.org/volunteer-abroad/global-health-projects" TargetMode="External"/><Relationship Id="rId10" Type="http://schemas.openxmlformats.org/officeDocument/2006/relationships/hyperlink" Target="https://www.shellecomarathon.com/" TargetMode="External"/><Relationship Id="rId19" Type="http://schemas.openxmlformats.org/officeDocument/2006/relationships/hyperlink" Target="https://competition.acrc.hku.hk/" TargetMode="External"/><Relationship Id="rId31" Type="http://schemas.openxmlformats.org/officeDocument/2006/relationships/hyperlink" Target="https://www.smith.edu/academics/precollege-programs/summer-science-engineering" TargetMode="External"/><Relationship Id="rId4" Type="http://schemas.openxmlformats.org/officeDocument/2006/relationships/hyperlink" Target="https://www.medspin-fkunair.com/" TargetMode="External"/><Relationship Id="rId9" Type="http://schemas.openxmlformats.org/officeDocument/2006/relationships/hyperlink" Target="https://pusatprestasinasional.kemendikdasmen.go.id/event/riset-dan-inovasi/sma/olimpiade-penelitian-siswa-indonesia-opsi-jenjang-pendidikan-menengah-2026-2026-sma" TargetMode="External"/><Relationship Id="rId14" Type="http://schemas.openxmlformats.org/officeDocument/2006/relationships/hyperlink" Target="https://imaginecup.microsoft.com/en-us" TargetMode="External"/><Relationship Id="rId22" Type="http://schemas.openxmlformats.org/officeDocument/2006/relationships/hyperlink" Target="https://ensie.nankai.edu.cn/info/1039/1277.htm" TargetMode="External"/><Relationship Id="rId27" Type="http://schemas.openxmlformats.org/officeDocument/2006/relationships/hyperlink" Target="https://relawanpmi.com/pmr/" TargetMode="External"/><Relationship Id="rId30" Type="http://schemas.openxmlformats.org/officeDocument/2006/relationships/hyperlink" Target="https://compression.stanford.edu/outreach/shtem-summer-internships-high-schoolers" TargetMode="External"/><Relationship Id="rId35" Type="http://schemas.openxmlformats.org/officeDocument/2006/relationships/hyperlink" Target="https://ei.jhu.edu/programs/eei/" TargetMode="External"/><Relationship Id="rId8" Type="http://schemas.openxmlformats.org/officeDocument/2006/relationships/hyperlink" Target="https://www.jamesdysonaward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50"/>
  <sheetViews>
    <sheetView tabSelected="1" workbookViewId="0">
      <selection activeCell="K45" sqref="K45"/>
    </sheetView>
  </sheetViews>
  <sheetFormatPr defaultColWidth="9.140625" defaultRowHeight="15"/>
  <cols>
    <col min="1" max="1" width="12.28515625" customWidth="1"/>
    <col min="2" max="2" width="18.28515625" customWidth="1"/>
    <col min="3" max="3" width="37" customWidth="1"/>
    <col min="4" max="4" width="36.5703125" customWidth="1"/>
    <col min="5" max="5" width="37.140625" customWidth="1"/>
    <col min="6" max="6" width="36.85546875" customWidth="1"/>
    <col min="7" max="7" width="37" customWidth="1"/>
    <col min="8" max="9" width="37.140625" customWidth="1"/>
    <col min="10" max="10" width="36.85546875" customWidth="1"/>
    <col min="11" max="11" width="37.140625" customWidth="1"/>
    <col min="12" max="12" width="36.85546875" customWidth="1"/>
  </cols>
  <sheetData>
    <row r="2" spans="2:17"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5"/>
      <c r="M2" s="1"/>
      <c r="N2" s="1"/>
      <c r="O2" s="1"/>
      <c r="P2" s="1"/>
      <c r="Q2" s="1"/>
    </row>
    <row r="3" spans="2:17">
      <c r="B3" s="3" t="s">
        <v>1</v>
      </c>
      <c r="C3" s="18" t="s">
        <v>2</v>
      </c>
      <c r="D3" s="19"/>
      <c r="E3" s="18" t="s">
        <v>3</v>
      </c>
      <c r="F3" s="19"/>
      <c r="G3" s="18" t="s">
        <v>4</v>
      </c>
      <c r="H3" s="19"/>
      <c r="I3" s="18" t="s">
        <v>5</v>
      </c>
      <c r="J3" s="19"/>
      <c r="K3" s="18" t="s">
        <v>6</v>
      </c>
      <c r="L3" s="19"/>
    </row>
    <row r="4" spans="2:17">
      <c r="B4" s="3" t="s">
        <v>7</v>
      </c>
      <c r="C4" s="4" t="s">
        <v>8</v>
      </c>
      <c r="D4" s="4" t="s">
        <v>9</v>
      </c>
      <c r="E4" s="4" t="s">
        <v>8</v>
      </c>
      <c r="F4" s="4" t="s">
        <v>9</v>
      </c>
      <c r="G4" s="4" t="s">
        <v>8</v>
      </c>
      <c r="H4" s="4" t="s">
        <v>9</v>
      </c>
      <c r="I4" s="4" t="s">
        <v>8</v>
      </c>
      <c r="J4" s="4" t="s">
        <v>9</v>
      </c>
      <c r="K4" s="4" t="s">
        <v>8</v>
      </c>
      <c r="L4" s="4" t="s">
        <v>10</v>
      </c>
    </row>
    <row r="5" spans="2:17">
      <c r="B5" s="3" t="s">
        <v>11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/>
    </row>
    <row r="6" spans="2:17">
      <c r="B6" s="3" t="s">
        <v>14</v>
      </c>
      <c r="C6" s="7" t="s">
        <v>15</v>
      </c>
      <c r="D6" s="2" t="s">
        <v>16</v>
      </c>
      <c r="E6" s="7" t="s">
        <v>15</v>
      </c>
      <c r="F6" s="2" t="s">
        <v>16</v>
      </c>
      <c r="G6" s="7" t="s">
        <v>15</v>
      </c>
      <c r="H6" s="2" t="s">
        <v>16</v>
      </c>
      <c r="I6" s="7" t="s">
        <v>15</v>
      </c>
      <c r="J6" s="2" t="s">
        <v>16</v>
      </c>
      <c r="K6" s="7" t="s">
        <v>15</v>
      </c>
      <c r="L6" s="2" t="s">
        <v>17</v>
      </c>
    </row>
    <row r="7" spans="2:17">
      <c r="B7" s="5" t="s">
        <v>18</v>
      </c>
      <c r="C7" s="2" t="s">
        <v>19</v>
      </c>
      <c r="D7" s="6">
        <v>6.5</v>
      </c>
      <c r="E7" s="2" t="s">
        <v>19</v>
      </c>
      <c r="F7" s="6">
        <v>6.5</v>
      </c>
      <c r="G7" s="2" t="s">
        <v>19</v>
      </c>
      <c r="H7" s="6">
        <v>6.5</v>
      </c>
      <c r="I7" s="2" t="s">
        <v>19</v>
      </c>
      <c r="J7" s="6">
        <v>6.5</v>
      </c>
      <c r="K7" s="2" t="s">
        <v>19</v>
      </c>
      <c r="L7" s="2" t="s">
        <v>20</v>
      </c>
    </row>
    <row r="8" spans="2:17">
      <c r="B8" s="3" t="s">
        <v>21</v>
      </c>
      <c r="C8" s="8" t="s">
        <v>22</v>
      </c>
      <c r="D8" s="2">
        <v>80</v>
      </c>
      <c r="E8" s="8" t="s">
        <v>22</v>
      </c>
      <c r="F8" s="2">
        <v>80</v>
      </c>
      <c r="G8" s="8" t="s">
        <v>22</v>
      </c>
      <c r="H8" s="2">
        <v>80</v>
      </c>
      <c r="I8" s="8" t="s">
        <v>22</v>
      </c>
      <c r="J8" s="2">
        <v>80</v>
      </c>
      <c r="K8" s="8" t="s">
        <v>22</v>
      </c>
      <c r="L8" s="2" t="s">
        <v>20</v>
      </c>
    </row>
    <row r="9" spans="2:17">
      <c r="C9" s="9"/>
      <c r="D9" s="9"/>
      <c r="E9" s="9"/>
      <c r="F9" s="9"/>
      <c r="G9" s="9"/>
      <c r="H9" s="9"/>
      <c r="I9" s="9"/>
      <c r="J9" s="9"/>
      <c r="K9" s="9"/>
      <c r="L9" s="9"/>
    </row>
    <row r="10" spans="2:17">
      <c r="B10" s="16" t="s">
        <v>23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2:17">
      <c r="B11" s="3" t="s">
        <v>1</v>
      </c>
      <c r="C11" s="17" t="s">
        <v>24</v>
      </c>
      <c r="D11" s="17"/>
      <c r="E11" s="17" t="s">
        <v>25</v>
      </c>
      <c r="F11" s="17"/>
      <c r="G11" s="17" t="s">
        <v>26</v>
      </c>
      <c r="H11" s="17"/>
      <c r="I11" s="17" t="s">
        <v>27</v>
      </c>
      <c r="J11" s="17"/>
      <c r="K11" s="17" t="s">
        <v>28</v>
      </c>
      <c r="L11" s="17"/>
    </row>
    <row r="12" spans="2:17">
      <c r="B12" s="3" t="s">
        <v>29</v>
      </c>
      <c r="C12" s="20" t="s">
        <v>30</v>
      </c>
      <c r="D12" s="20"/>
      <c r="E12" s="20" t="s">
        <v>31</v>
      </c>
      <c r="F12" s="20"/>
      <c r="G12" s="20" t="s">
        <v>32</v>
      </c>
      <c r="H12" s="20"/>
      <c r="I12" s="20" t="s">
        <v>33</v>
      </c>
      <c r="J12" s="20"/>
      <c r="K12" s="20" t="s">
        <v>34</v>
      </c>
      <c r="L12" s="20"/>
    </row>
    <row r="13" spans="2:17">
      <c r="B13" s="3" t="s">
        <v>35</v>
      </c>
      <c r="C13" s="20" t="s">
        <v>36</v>
      </c>
      <c r="D13" s="20"/>
      <c r="E13" s="20" t="s">
        <v>37</v>
      </c>
      <c r="F13" s="20"/>
      <c r="G13" s="20" t="s">
        <v>38</v>
      </c>
      <c r="H13" s="20"/>
      <c r="I13" s="20" t="s">
        <v>39</v>
      </c>
      <c r="J13" s="20"/>
      <c r="K13" s="20" t="s">
        <v>40</v>
      </c>
      <c r="L13" s="20"/>
    </row>
    <row r="14" spans="2:17">
      <c r="B14" s="3" t="s">
        <v>41</v>
      </c>
      <c r="C14" s="20" t="s">
        <v>42</v>
      </c>
      <c r="D14" s="20"/>
      <c r="E14" s="20" t="s">
        <v>43</v>
      </c>
      <c r="F14" s="20"/>
      <c r="G14" s="20" t="s">
        <v>44</v>
      </c>
      <c r="H14" s="20"/>
      <c r="I14" s="20" t="s">
        <v>45</v>
      </c>
      <c r="J14" s="20"/>
      <c r="K14" s="21" t="s">
        <v>46</v>
      </c>
      <c r="L14" s="22"/>
    </row>
    <row r="15" spans="2:17">
      <c r="B15" s="3" t="s">
        <v>47</v>
      </c>
      <c r="C15" s="20" t="s">
        <v>48</v>
      </c>
      <c r="D15" s="20"/>
      <c r="E15" s="20" t="s">
        <v>49</v>
      </c>
      <c r="F15" s="20"/>
      <c r="G15" s="20" t="s">
        <v>50</v>
      </c>
      <c r="H15" s="20"/>
      <c r="I15" s="20" t="s">
        <v>51</v>
      </c>
      <c r="J15" s="20"/>
      <c r="K15" s="20" t="s">
        <v>52</v>
      </c>
      <c r="L15" s="20"/>
    </row>
    <row r="16" spans="2:17">
      <c r="B16" s="3" t="s">
        <v>53</v>
      </c>
      <c r="C16" s="20" t="s">
        <v>54</v>
      </c>
      <c r="D16" s="20"/>
      <c r="E16" s="20" t="s">
        <v>55</v>
      </c>
      <c r="F16" s="20"/>
      <c r="G16" s="20" t="s">
        <v>56</v>
      </c>
      <c r="H16" s="20"/>
      <c r="I16" s="20" t="s">
        <v>57</v>
      </c>
      <c r="J16" s="20"/>
      <c r="K16" s="20" t="s">
        <v>58</v>
      </c>
      <c r="L16" s="20"/>
    </row>
    <row r="18" spans="2:12">
      <c r="B18" s="16" t="s">
        <v>59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2:12">
      <c r="B19" s="3" t="s">
        <v>1</v>
      </c>
      <c r="C19" s="17" t="s">
        <v>24</v>
      </c>
      <c r="D19" s="17"/>
      <c r="E19" s="17" t="s">
        <v>25</v>
      </c>
      <c r="F19" s="17"/>
      <c r="G19" s="17" t="s">
        <v>26</v>
      </c>
      <c r="H19" s="17"/>
      <c r="I19" s="17" t="s">
        <v>27</v>
      </c>
      <c r="J19" s="17"/>
      <c r="K19" s="17" t="s">
        <v>28</v>
      </c>
      <c r="L19" s="17"/>
    </row>
    <row r="20" spans="2:12">
      <c r="B20" s="3" t="s">
        <v>60</v>
      </c>
      <c r="C20" s="20" t="s">
        <v>61</v>
      </c>
      <c r="D20" s="20"/>
      <c r="E20" s="20" t="s">
        <v>62</v>
      </c>
      <c r="F20" s="20"/>
      <c r="G20" s="20" t="str">
        <f>HYPERLINK("https://buildyourfuture.withgoogle.com/programs/step/", "Google STEP Internship")</f>
        <v>Google STEP Internship</v>
      </c>
      <c r="H20" s="20"/>
      <c r="I20" s="20" t="str">
        <f>HYPERLINK("https://about.bankofamerica.com/en/making-an-impact/student-leaders", "Bank of America Student Leaders Program")</f>
        <v>Bank of America Student Leaders Program</v>
      </c>
      <c r="J20" s="12"/>
      <c r="K20" s="20" t="str">
        <f>HYPERLINK("https://www.ciee.org/go-abroad/high-school-study-abroad/programs", "CIEE Global Navigator Language &amp; Culture Program")</f>
        <v>CIEE Global Navigator Language &amp; Culture Program</v>
      </c>
      <c r="L20" s="12"/>
    </row>
    <row r="21" spans="2:12">
      <c r="B21" s="3" t="s">
        <v>63</v>
      </c>
      <c r="C21" s="20" t="s">
        <v>64</v>
      </c>
      <c r="D21" s="20"/>
      <c r="E21" s="20" t="s">
        <v>65</v>
      </c>
      <c r="F21" s="20"/>
      <c r="G21" s="20" t="str">
        <f>HYPERLINK("https://careers.microsoft.com/students/us/en/explore-program", "Microsoft Explore Internship")</f>
        <v>Microsoft Explore Internship</v>
      </c>
      <c r="H21" s="12"/>
      <c r="I21" s="20" t="str">
        <f>HYPERLINK("https://summer.harvard.edu/high-school-programs/pre-college-program/", "Harvard Pre-College Program: Economics &amp; Business")</f>
        <v>Harvard Pre-College Program: Economics &amp; Business</v>
      </c>
      <c r="J21" s="12"/>
      <c r="K21" s="20" t="str">
        <f>HYPERLINK("https://www.nsliforyouth.org/", "NSLI-Y")</f>
        <v>NSLI-Y</v>
      </c>
      <c r="L21" s="12"/>
    </row>
    <row r="22" spans="2:12">
      <c r="B22" s="3" t="s">
        <v>66</v>
      </c>
      <c r="C22" s="20" t="s">
        <v>67</v>
      </c>
      <c r="D22" s="20"/>
      <c r="E22" s="20" t="s">
        <v>68</v>
      </c>
      <c r="F22" s="20"/>
      <c r="G22" s="20" t="str">
        <f>HYPERLINK("https://www.amazonfutureengineer.com/internship", "Amazon Future Engineer Internship")</f>
        <v>Amazon Future Engineer Internship</v>
      </c>
      <c r="H22" s="12"/>
      <c r="I22" s="20" t="str">
        <f>HYPERLINK("https://globalyouth.wharton.upenn.edu/", "Wharton Global Youth Program")</f>
        <v>Wharton Global Youth Program</v>
      </c>
      <c r="J22" s="12"/>
      <c r="K22" s="20" t="str">
        <f>HYPERLINK("https://afs.org/intercultural-programs/", "AFS Intercultural Exchange Programs")</f>
        <v>AFS Intercultural Exchange Programs</v>
      </c>
      <c r="L22" s="12"/>
    </row>
    <row r="23" spans="2:12">
      <c r="B23" s="3" t="s">
        <v>69</v>
      </c>
      <c r="C23" s="20" t="s">
        <v>70</v>
      </c>
      <c r="D23" s="20"/>
      <c r="E23" s="20" t="s">
        <v>71</v>
      </c>
      <c r="F23" s="20"/>
      <c r="G23" s="20" t="str">
        <f>HYPERLINK("https://ai4all.stanford.edu/", "Stanford AI4ALL Summer Program")</f>
        <v>Stanford AI4ALL Summer Program</v>
      </c>
      <c r="H23" s="12"/>
      <c r="I23" s="20" t="str">
        <f>HYPERLINK("https://www.jaworldwide.org/program/ja-company-program", "JA Company Program")</f>
        <v>JA Company Program</v>
      </c>
      <c r="J23" s="12"/>
      <c r="K23" s="20" t="str">
        <f>HYPERLINK("https://yfu.org/study-abroad", "YFU Language Immersion")</f>
        <v>YFU Language Immersion</v>
      </c>
      <c r="L23" s="12"/>
    </row>
    <row r="24" spans="2:12">
      <c r="B24" s="3" t="s">
        <v>72</v>
      </c>
      <c r="C24" s="20" t="s">
        <v>73</v>
      </c>
      <c r="D24" s="20"/>
      <c r="E24" s="20" t="s">
        <v>74</v>
      </c>
      <c r="F24" s="20"/>
      <c r="G24" s="20" t="str">
        <f>HYPERLINK("https://girlswhocode.com/programs/summer-immersion-program", "Girls Who Code Summer Immersion Program")</f>
        <v>Girls Who Code Summer Immersion Program</v>
      </c>
      <c r="H24" s="12"/>
      <c r="I24" s="20" t="str">
        <f>HYPERLINK("https://fbla.org/events/national-leadership-conference/", "FBLA National Leadership Conference Internship")</f>
        <v>FBLA National Leadership Conference Internship</v>
      </c>
      <c r="J24" s="12"/>
      <c r="K24" s="20" t="str">
        <f>HYPERLINK("https://us.fulbrightonline.org/summer-institute", "Fulbright Summer Institute")</f>
        <v>Fulbright Summer Institute</v>
      </c>
      <c r="L24" s="12"/>
    </row>
    <row r="26" spans="2:12">
      <c r="B26" s="16" t="s">
        <v>75</v>
      </c>
      <c r="C26" s="16"/>
      <c r="D26" s="16"/>
      <c r="E26" s="16"/>
      <c r="F26" s="16"/>
      <c r="G26" s="16"/>
      <c r="H26" s="16"/>
      <c r="I26" s="11"/>
      <c r="J26" s="11"/>
      <c r="K26" s="11"/>
      <c r="L26" s="11"/>
    </row>
    <row r="27" spans="2:12">
      <c r="B27" s="3" t="s">
        <v>76</v>
      </c>
      <c r="C27" s="17" t="s">
        <v>9</v>
      </c>
      <c r="D27" s="17"/>
      <c r="E27" s="17" t="s">
        <v>8</v>
      </c>
      <c r="F27" s="17"/>
      <c r="G27" s="17" t="s">
        <v>77</v>
      </c>
      <c r="H27" s="17"/>
      <c r="I27" s="11"/>
      <c r="J27" s="11"/>
      <c r="K27" s="11"/>
      <c r="L27" s="11"/>
    </row>
    <row r="28" spans="2:12">
      <c r="B28" s="3" t="s">
        <v>78</v>
      </c>
      <c r="C28" s="24" t="s">
        <v>79</v>
      </c>
      <c r="D28" s="25"/>
      <c r="E28" s="24" t="s">
        <v>79</v>
      </c>
      <c r="F28" s="25"/>
      <c r="G28" s="24" t="s">
        <v>77</v>
      </c>
      <c r="H28" s="25"/>
      <c r="I28" s="10"/>
      <c r="J28" s="10"/>
      <c r="K28" s="10"/>
      <c r="L28" s="10"/>
    </row>
    <row r="29" spans="2:12">
      <c r="B29" s="3" t="s">
        <v>80</v>
      </c>
      <c r="C29" s="21" t="str">
        <f>HYPERLINK("http://www.moe.gov.cn/srcsite/A20/moe_850/202006/t20200609_464159.html", "Ministry of Education Notice on International Student Eligibility")</f>
        <v>Ministry of Education Notice on International Student Eligibility</v>
      </c>
      <c r="D29" s="25"/>
      <c r="E29" s="27" t="str">
        <f>HYPERLINK("https://www.isd.pku.edu.cn/cn/news/detail.php?id=800", "2026 Peking University Undergraduate Admission Brochure for International Students (Entrance Examination)")</f>
        <v>2026 Peking University Undergraduate Admission Brochure for International Students (Entrance Examination)</v>
      </c>
      <c r="F29" s="28"/>
      <c r="G29" s="20" t="str">
        <f>HYPERLINK("https://admission-is.bnu.edu.cn/english/admissionprogram/bachelordegreeprogram/admissionbrochure/index.html", "2026 BNU Undergraduate Admission Brochure for International Students")</f>
        <v>2026 BNU Undergraduate Admission Brochure for International Students</v>
      </c>
      <c r="H29" s="12"/>
      <c r="I29" s="10"/>
      <c r="J29" s="10"/>
      <c r="K29" s="10"/>
      <c r="L29" s="10"/>
    </row>
    <row r="30" spans="2:12">
      <c r="B30" s="3"/>
      <c r="C30" s="20" t="str">
        <f>HYPERLINK("https://international.join-tsinghua.edu.cn/info/1030/1018.htm", "Tsinghua University – Academy of Arts &amp; Design Undergraduate Programs")</f>
        <v>Tsinghua University – Academy of Arts &amp; Design Undergraduate Programs</v>
      </c>
      <c r="D30" s="12"/>
      <c r="E30" s="27" t="str">
        <f>HYPERLINK("https://www.isd.pku.edu.cn/cn/detail.php?id=793", "2026 Peking University Undergraduate Admission Brochure for International Students (Application Review)")</f>
        <v>2026 Peking University Undergraduate Admission Brochure for International Students (Application Review)</v>
      </c>
      <c r="F30" s="28"/>
      <c r="G30" s="12" t="s">
        <v>81</v>
      </c>
      <c r="H30" s="12"/>
      <c r="I30" s="10"/>
      <c r="J30" s="10"/>
      <c r="K30" s="10"/>
      <c r="L30" s="10"/>
    </row>
    <row r="31" spans="2:12" ht="15.75">
      <c r="B31" s="3"/>
      <c r="C31" s="26" t="s">
        <v>82</v>
      </c>
      <c r="D31" s="12"/>
      <c r="E31" s="27" t="str">
        <f>HYPERLINK("https://www.isd.pku.edu.cn/cn/detail.php?id=798", "2026 Peking University Academic Requirements for Application Review")</f>
        <v>2026 Peking University Academic Requirements for Application Review</v>
      </c>
      <c r="F31" s="28"/>
      <c r="G31" s="12"/>
      <c r="H31" s="12"/>
      <c r="I31" s="10"/>
      <c r="J31" s="10"/>
      <c r="K31" s="10"/>
      <c r="L31" s="10"/>
    </row>
    <row r="32" spans="2:12">
      <c r="B32" s="3"/>
      <c r="C32" s="12"/>
      <c r="D32" s="12"/>
      <c r="E32" s="27" t="str">
        <f>HYPERLINK("https://www.isd.pku.edu.cn/cn/detail.php?id=796", "2026 Peking University Boya Overseas Talent Program Admission Brochure for International Students")</f>
        <v>2026 Peking University Boya Overseas Talent Program Admission Brochure for International Students</v>
      </c>
      <c r="F32" s="28"/>
      <c r="G32" s="12"/>
      <c r="H32" s="12"/>
      <c r="I32" s="10"/>
      <c r="J32" s="10"/>
      <c r="K32" s="10"/>
      <c r="L32" s="10"/>
    </row>
    <row r="33" spans="2:12">
      <c r="B33" s="3"/>
      <c r="C33" s="12"/>
      <c r="D33" s="12"/>
      <c r="E33" s="27" t="str">
        <f>HYPERLINK("https://www.isd.pku.edu.cn/cn/detail.php?id=795", "2026 Peking University Boya Overseas Talent Program Implementation Plan")</f>
        <v>2026 Peking University Boya Overseas Talent Program Implementation Plan</v>
      </c>
      <c r="F33" s="28"/>
      <c r="G33" s="12"/>
      <c r="H33" s="12"/>
      <c r="I33" s="10"/>
      <c r="J33" s="10"/>
      <c r="K33" s="10"/>
      <c r="L33" s="10"/>
    </row>
    <row r="34" spans="2:12">
      <c r="B34" s="3"/>
      <c r="C34" s="12"/>
      <c r="D34" s="12"/>
      <c r="E34" s="27" t="str">
        <f>HYPERLINK("https://www.isd.pku.edu.cn/cn/detail.php?id=544", "Future Leaders International Undergraduate Program")</f>
        <v>Future Leaders International Undergraduate Program</v>
      </c>
      <c r="F34" s="28"/>
      <c r="G34" s="12"/>
      <c r="H34" s="12"/>
      <c r="I34" s="10"/>
      <c r="J34" s="10"/>
      <c r="K34" s="10"/>
      <c r="L34" s="10"/>
    </row>
    <row r="36" spans="2:12">
      <c r="B36" s="16" t="s">
        <v>83</v>
      </c>
      <c r="C36" s="16"/>
      <c r="D36" s="16"/>
      <c r="E36" s="16"/>
      <c r="F36" s="16"/>
      <c r="G36" s="16"/>
      <c r="H36" s="16"/>
    </row>
    <row r="37" spans="2:12">
      <c r="B37" s="3" t="s">
        <v>76</v>
      </c>
      <c r="C37" s="17" t="s">
        <v>9</v>
      </c>
      <c r="D37" s="17"/>
      <c r="E37" s="17" t="s">
        <v>8</v>
      </c>
      <c r="F37" s="17"/>
      <c r="G37" s="17" t="s">
        <v>77</v>
      </c>
      <c r="H37" s="17"/>
      <c r="I37" s="1"/>
      <c r="J37" s="1"/>
      <c r="K37" s="1"/>
      <c r="L37" s="1"/>
    </row>
    <row r="38" spans="2:12">
      <c r="B38" s="3" t="s">
        <v>84</v>
      </c>
      <c r="C38" s="12"/>
      <c r="D38" s="12"/>
      <c r="E38" s="12"/>
      <c r="F38" s="12"/>
      <c r="G38" s="12"/>
      <c r="H38" s="12"/>
    </row>
    <row r="39" spans="2:12">
      <c r="B39" s="3" t="s">
        <v>85</v>
      </c>
      <c r="C39" s="12"/>
      <c r="D39" s="12"/>
      <c r="E39" s="12"/>
      <c r="F39" s="12"/>
      <c r="G39" s="12"/>
      <c r="H39" s="12"/>
    </row>
    <row r="40" spans="2:12">
      <c r="B40" s="3" t="s">
        <v>86</v>
      </c>
      <c r="C40" s="12"/>
      <c r="D40" s="12"/>
      <c r="E40" s="12"/>
      <c r="F40" s="12"/>
      <c r="G40" s="12"/>
      <c r="H40" s="12"/>
    </row>
    <row r="41" spans="2:12">
      <c r="B41" s="3" t="s">
        <v>87</v>
      </c>
      <c r="C41" s="12"/>
      <c r="D41" s="12"/>
      <c r="E41" s="12"/>
      <c r="F41" s="12"/>
      <c r="G41" s="12"/>
      <c r="H41" s="12"/>
    </row>
    <row r="50" spans="3:8">
      <c r="C50" s="23"/>
      <c r="D50" s="23"/>
      <c r="E50" s="23"/>
      <c r="F50" s="23"/>
      <c r="G50" s="23"/>
      <c r="H50" s="23"/>
    </row>
  </sheetData>
  <mergeCells count="112">
    <mergeCell ref="G33:H33"/>
    <mergeCell ref="C34:D34"/>
    <mergeCell ref="E34:F34"/>
    <mergeCell ref="C33:D33"/>
    <mergeCell ref="E33:F33"/>
    <mergeCell ref="G34:H34"/>
    <mergeCell ref="C50:D50"/>
    <mergeCell ref="E50:F50"/>
    <mergeCell ref="G50:H50"/>
    <mergeCell ref="C39:D39"/>
    <mergeCell ref="E39:F39"/>
    <mergeCell ref="G39:H39"/>
    <mergeCell ref="C40:D40"/>
    <mergeCell ref="E40:F40"/>
    <mergeCell ref="G40:H40"/>
    <mergeCell ref="B36:H36"/>
    <mergeCell ref="C37:D37"/>
    <mergeCell ref="E37:F37"/>
    <mergeCell ref="G37:H37"/>
    <mergeCell ref="C38:D38"/>
    <mergeCell ref="E38:F38"/>
    <mergeCell ref="G38:H38"/>
    <mergeCell ref="C41:D41"/>
    <mergeCell ref="E41:F41"/>
    <mergeCell ref="G41:H41"/>
    <mergeCell ref="E28:F28"/>
    <mergeCell ref="G28:H28"/>
    <mergeCell ref="I24:J24"/>
    <mergeCell ref="K24:L24"/>
    <mergeCell ref="C32:D32"/>
    <mergeCell ref="E32:F32"/>
    <mergeCell ref="G32:H32"/>
    <mergeCell ref="C27:D27"/>
    <mergeCell ref="E27:F27"/>
    <mergeCell ref="G27:H27"/>
    <mergeCell ref="C24:D24"/>
    <mergeCell ref="E24:F24"/>
    <mergeCell ref="G24:H24"/>
    <mergeCell ref="B26:H26"/>
    <mergeCell ref="C30:D30"/>
    <mergeCell ref="E30:F30"/>
    <mergeCell ref="G30:H30"/>
    <mergeCell ref="C31:D31"/>
    <mergeCell ref="E31:F31"/>
    <mergeCell ref="G31:H31"/>
    <mergeCell ref="C16:D16"/>
    <mergeCell ref="E16:F16"/>
    <mergeCell ref="G16:H16"/>
    <mergeCell ref="I16:J16"/>
    <mergeCell ref="K16:L16"/>
    <mergeCell ref="B18:L18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21:D21"/>
    <mergeCell ref="E21:F21"/>
    <mergeCell ref="G21:H21"/>
    <mergeCell ref="I21:J21"/>
    <mergeCell ref="K21:L21"/>
    <mergeCell ref="C23:D23"/>
    <mergeCell ref="E23:F23"/>
    <mergeCell ref="G23:H23"/>
    <mergeCell ref="I23:J23"/>
    <mergeCell ref="K23:L23"/>
    <mergeCell ref="C22:D22"/>
    <mergeCell ref="E22:F22"/>
    <mergeCell ref="G22:H22"/>
    <mergeCell ref="I22:J22"/>
    <mergeCell ref="K22:L22"/>
    <mergeCell ref="E15:F15"/>
    <mergeCell ref="G15:H15"/>
    <mergeCell ref="I15:J15"/>
    <mergeCell ref="C12:D12"/>
    <mergeCell ref="E12:F12"/>
    <mergeCell ref="G12:H12"/>
    <mergeCell ref="I12:J12"/>
    <mergeCell ref="K12:L12"/>
    <mergeCell ref="C13:D13"/>
    <mergeCell ref="E13:F13"/>
    <mergeCell ref="G13:H13"/>
    <mergeCell ref="I13:J13"/>
    <mergeCell ref="K13:L13"/>
    <mergeCell ref="K15:L15"/>
    <mergeCell ref="C28:D28"/>
    <mergeCell ref="C29:D29"/>
    <mergeCell ref="E29:F29"/>
    <mergeCell ref="G29:H29"/>
    <mergeCell ref="B2:L2"/>
    <mergeCell ref="B10:L10"/>
    <mergeCell ref="C11:D11"/>
    <mergeCell ref="E11:F11"/>
    <mergeCell ref="G11:H11"/>
    <mergeCell ref="I11:J11"/>
    <mergeCell ref="K11:L11"/>
    <mergeCell ref="C3:D3"/>
    <mergeCell ref="E3:F3"/>
    <mergeCell ref="G3:H3"/>
    <mergeCell ref="I3:J3"/>
    <mergeCell ref="K3:L3"/>
    <mergeCell ref="C14:D14"/>
    <mergeCell ref="E14:F14"/>
    <mergeCell ref="G14:H14"/>
    <mergeCell ref="I14:J14"/>
    <mergeCell ref="K14:L14"/>
    <mergeCell ref="C15:D15"/>
  </mergeCells>
  <hyperlinks>
    <hyperlink ref="C12:D12" r:id="rId1" display="Indonesian Medical Physiology Olympiad (IMPhO)" xr:uid="{7F63E483-DFDE-4FE5-A6F2-F735C5338358}"/>
    <hyperlink ref="C13:D13" r:id="rId2" display="National Medical &amp;amp; General Biology Competition (NMGBC)" xr:uid="{4F79FDFD-34B5-4445-9AD8-A74CACFBEF3C}"/>
    <hyperlink ref="C14:D14" r:id="rId3" display="UK Medicine and Dentistry Olympiad (UKMDO)" xr:uid="{F888EC36-6D3A-41BA-B151-835708545486}"/>
    <hyperlink ref="C15:D15" r:id="rId4" display="MEDSPIN is an international Medical Science and Application Competition" xr:uid="{EB964FC7-734D-4CCB-9329-2FFD7108F357}"/>
    <hyperlink ref="C16:D16" r:id="rId5" display="Science in Medicine School Teams Prize 2025" xr:uid="{93DFE76A-89CD-47FA-8E0F-1CAB72BED719}"/>
    <hyperlink ref="E12:F12" r:id="rId6" display="FIRST Robotics Competition" xr:uid="{130D56D3-DB45-48BD-B3A7-680349507B0A}"/>
    <hyperlink ref="E13:F13" r:id="rId7" display="International Young Inventors Award (IYIA)" xr:uid="{AE89346F-BAF4-4808-9E97-276CB595D756}"/>
    <hyperlink ref="E15:F15" r:id="rId8" display="James Dyson Award" xr:uid="{9429F6A4-2235-433D-8384-66AB5E80B78F}"/>
    <hyperlink ref="E14:F14" r:id="rId9" display="The Indonesian Student Research Olympiad (OPSI)" xr:uid="{183E9AFE-0B68-446E-8E4C-A33F2D85A901}"/>
    <hyperlink ref="E16:F16" r:id="rId10" display="Shell Eco-marathon" xr:uid="{E4A47DFD-92FA-45E1-80CD-12A799936C05}"/>
    <hyperlink ref="G12:H12" r:id="rId11" display="Google Summer of Code" xr:uid="{BDAC9E26-E647-44EA-A269-47C9CA6A5A03}"/>
    <hyperlink ref="G13:H13" r:id="rId12" display="USACO (USA Computing Olympiad)" xr:uid="{D7BEB01E-0F79-4114-9910-047511A7636C}"/>
    <hyperlink ref="G14:H14" r:id="rId13" display="Gemastik" xr:uid="{EA47F8C2-8338-485D-9808-B8391C0FC4F9}"/>
    <hyperlink ref="G15:H15" r:id="rId14" display="Imagine Cup (Microsoft)" xr:uid="{7D84F189-1D8F-4FE9-B95B-793C373BBF85}"/>
    <hyperlink ref="G16:H16" r:id="rId15" display="Capture The Flag (CTF) Global Competitions" xr:uid="{00240599-98C4-40AC-9D80-246C81F9C8DE}"/>
    <hyperlink ref="I12:J12" r:id="rId16" display="Wharton Global High School Investment Competition" xr:uid="{F0A5B141-5947-491D-AA1F-749292A18413}"/>
    <hyperlink ref="I13:J13" r:id="rId17" display="ndonesia National Science Enterprise Challenge (INASEC)" xr:uid="{51F21B5E-C2A0-4DB1-B975-CF05A84915BE}"/>
    <hyperlink ref="I14:J14" r:id="rId18" display="Diamond Challenge" xr:uid="{2F79F7F0-7F25-42E6-8D67-042085218B92}"/>
    <hyperlink ref="I15:J15" r:id="rId19" display="HSBC Business Case Competition" xr:uid="{93EDED57-D7BB-4907-8B04-4460132CB8FE}"/>
    <hyperlink ref="I16:J16" r:id="rId20" display="Blue Ocean Competition" xr:uid="{931067FF-B5CB-4CC0-B4F8-EB27C7E55FC4}"/>
    <hyperlink ref="K12:L12" r:id="rId21" display="International Linguistics Olympiad (IOL)" xr:uid="{8CC3D0CB-2F5A-4A2B-8B2B-1738E78F795B}"/>
    <hyperlink ref="K13:L13" r:id="rId22" display="HSK Short Video Competition" xr:uid="{E208B9F9-B285-44D8-9051-66EA4424655E}"/>
    <hyperlink ref="K14:L14" r:id="rId23" display="International Model United Nations" xr:uid="{E444B727-AE96-4EE4-93B6-23D24A02FD65}"/>
    <hyperlink ref="K15:L15" r:id="rId24" display="John Locke Institute Essay Competition" xr:uid="{2B531133-5C4A-4E73-81B3-B152A54008B6}"/>
    <hyperlink ref="K16:L16" r:id="rId25" display="Fourth Global Youth Bilingual Broadcast Contest" xr:uid="{E2D914B3-2BBA-456B-94DD-706E66B6B53C}"/>
    <hyperlink ref="C20:D20" r:id="rId26" location=":~:text=The%20Summer%20Research%20Internship%20is%20project%2Dbased%20and%20geared%20toward,%2C%20discussions%2C%20and%20guided%20learning." display="AIMI Summer Research Internship" xr:uid="{2DD3A1C6-ECA5-4AD0-A63E-BBBA707EFF93}"/>
    <hyperlink ref="C21:D21" r:id="rId27" display="Volunteering as a &quot;Palang Merah Remaja (PMR)&quot;" xr:uid="{3525A1CB-2D56-4DE3-BDD7-726D3B54503C}"/>
    <hyperlink ref="C22:D22" r:id="rId28" display="United Planet Global Health Internships" xr:uid="{3126AE8A-2D20-4EBB-9260-5B6CE466CDB5}"/>
    <hyperlink ref="C23:D23" r:id="rId29" display="Pre-Med Project (Virtual)" xr:uid="{423D5249-975F-412E-8741-EBACC32103B8}"/>
    <hyperlink ref="C24:D24" r:id="rId30" display="Stanford University’s SHTEM Summer Internships" xr:uid="{D6EBD44E-4110-4256-9AEB-9800518335B5}"/>
    <hyperlink ref="E20:F20" r:id="rId31" display="Smith College – Summer Science &amp; Engineering Program (SSEP)" xr:uid="{C080A084-8E36-4422-A33B-8E204E0B86CC}"/>
    <hyperlink ref="E21:F21" r:id="rId32" display="Rolls-Royce Engineering Virtual Experience: &quot;Discover&quot;" xr:uid="{E14D5620-BDAB-4D1A-8313-3F1A2F932192}"/>
    <hyperlink ref="E22:F22" r:id="rId33" display="Imperial Global Summer School" xr:uid="{53AD2CB9-2EF0-4297-B552-2277E29F91A8}"/>
    <hyperlink ref="E23:F23" r:id="rId34" display="NTU Singapore Summer Immersion Programme " xr:uid="{075B0883-11AD-4D4C-8B93-7015C09F1645}"/>
    <hyperlink ref="E24:F24" r:id="rId35" display="Explore Engineering Innovation (EEI) (Online/In-Person)" xr:uid="{9E67959A-67F6-4F13-9079-C72AE4AB86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Yuxi CHEN (20719647)</cp:lastModifiedBy>
  <cp:revision/>
  <dcterms:created xsi:type="dcterms:W3CDTF">2026-03-28T02:12:16Z</dcterms:created>
  <dcterms:modified xsi:type="dcterms:W3CDTF">2026-03-28T11:31:20Z</dcterms:modified>
  <cp:category/>
  <cp:contentStatus/>
</cp:coreProperties>
</file>